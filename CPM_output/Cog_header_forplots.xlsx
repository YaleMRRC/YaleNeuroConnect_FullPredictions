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simon/Documents/Data/Constable_lab/Transdiagnostic/N317/CPM_results/AgeSex_regressed_1000perms/"/>
    </mc:Choice>
  </mc:AlternateContent>
  <xr:revisionPtr revIDLastSave="0" documentId="13_ncr:1_{F382618A-5864-0646-BDD2-A484C76E4EE3}" xr6:coauthVersionLast="47" xr6:coauthVersionMax="47" xr10:uidLastSave="{00000000-0000-0000-0000-000000000000}"/>
  <bookViews>
    <workbookView xWindow="5640" yWindow="500" windowWidth="27080" windowHeight="19300" activeTab="1" xr2:uid="{1BB73747-24E6-9047-8867-EB7CE5ED76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1" i="2"/>
</calcChain>
</file>

<file path=xl/sharedStrings.xml><?xml version="1.0" encoding="utf-8"?>
<sst xmlns="http://schemas.openxmlformats.org/spreadsheetml/2006/main" count="56" uniqueCount="28">
  <si>
    <t>Number correct (BNT)</t>
  </si>
  <si>
    <t>Number of stimulus cues (BNT)</t>
  </si>
  <si>
    <t>Number correct following stimulus cue (BNT)</t>
  </si>
  <si>
    <t>Number of phoenomic cues (BNT)</t>
  </si>
  <si>
    <t>Number correct following phoenomic cue (BNT)</t>
  </si>
  <si>
    <t>Total score (BNT)</t>
  </si>
  <si>
    <t>Word reading (WRAT)</t>
  </si>
  <si>
    <t>Verbal learning (WRAML)</t>
  </si>
  <si>
    <t>Verbal learning delayed recall (WRAML)</t>
  </si>
  <si>
    <t>Verbal learning intrusion (WRAML)</t>
  </si>
  <si>
    <t>Finger windows (WRAML)</t>
  </si>
  <si>
    <t>Symbol search (WAIS)</t>
  </si>
  <si>
    <t>Coding (WAIS)</t>
  </si>
  <si>
    <t>Letter-number sequencing (WAIS)</t>
  </si>
  <si>
    <t>Cancellation (WAIS)</t>
  </si>
  <si>
    <t>Verbal fluency test: letter fluency (D-KEFS)</t>
  </si>
  <si>
    <t>Verbal fluency test: category fluency (D-KEFS)</t>
  </si>
  <si>
    <t>Twenty-questions test: initial abstraction (D-KEFS)</t>
  </si>
  <si>
    <t>Twenty-questions test: total questions asked (D-KEFS)</t>
  </si>
  <si>
    <t>Twenty-questions test: weighted achievement (D-KEFS)</t>
  </si>
  <si>
    <t>Vocabulary (WASI)</t>
  </si>
  <si>
    <t>Matrix reasoning (WASI)</t>
  </si>
  <si>
    <t>Color-word interference test: word reading (D-KEFS)</t>
  </si>
  <si>
    <t>Color-word interference test: color naming (D-KEFS)</t>
  </si>
  <si>
    <t>Color-word interference test: inhibition (D-KEFS)</t>
  </si>
  <si>
    <t>Trail-making test: number-letter sequencing (D-KEFS)</t>
  </si>
  <si>
    <t>Trail-making test: letter sequencing (D-KEFS)</t>
  </si>
  <si>
    <t>Trail-making test: number sequencing (D-KEFS)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</si>
</sst>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7A73-AF7F-5943-85D3-0099ABE70431}">
  <dimension ref="A1:AB3"/>
  <sheetViews>
    <sheetView workbookViewId="0">
      <selection sqref="A1:AB3"/>
    </sheetView>
  </sheetViews>
  <sheetFormatPr baseColWidth="10" defaultRowHeight="16" x14ac:dyDescent="0.2"/>
  <cols>
    <col min="1" max="1" width="19.1640625" bestFit="1" customWidth="1"/>
    <col min="2" max="2" width="26.1640625" bestFit="1" customWidth="1"/>
    <col min="3" max="3" width="37.83203125" bestFit="1" customWidth="1"/>
    <col min="4" max="4" width="28.5" bestFit="1" customWidth="1"/>
    <col min="5" max="5" width="40" bestFit="1" customWidth="1"/>
    <col min="6" max="6" width="1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</v>
      </c>
      <c r="Q1" t="s">
        <v>26</v>
      </c>
      <c r="R1" t="s">
        <v>25</v>
      </c>
      <c r="S1" t="s">
        <v>15</v>
      </c>
      <c r="T1" t="s">
        <v>16</v>
      </c>
      <c r="U1" t="s">
        <v>23</v>
      </c>
      <c r="V1" t="s">
        <v>22</v>
      </c>
      <c r="W1" s="1" t="s">
        <v>24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</row>
    <row r="2" spans="1:28" x14ac:dyDescent="0.2">
      <c r="A2">
        <v>0.230371068666375</v>
      </c>
      <c r="B2">
        <v>0.19278534200511499</v>
      </c>
      <c r="C2">
        <v>9.4720592050888203E-2</v>
      </c>
      <c r="D2">
        <v>0.327748510834032</v>
      </c>
      <c r="E2">
        <v>0.179925179866855</v>
      </c>
      <c r="F2">
        <v>0.322213753785483</v>
      </c>
      <c r="G2">
        <v>0.302391493282964</v>
      </c>
      <c r="H2">
        <v>0.36122141516836997</v>
      </c>
      <c r="I2">
        <v>0.37715247693104398</v>
      </c>
      <c r="J2">
        <v>-6.4383872052520302E-2</v>
      </c>
      <c r="K2">
        <v>0.37952344426967</v>
      </c>
      <c r="L2">
        <v>0.352075777580099</v>
      </c>
      <c r="M2">
        <v>0.39687107655942</v>
      </c>
      <c r="N2">
        <v>0.30219008171970002</v>
      </c>
      <c r="O2">
        <v>0.22573587076189999</v>
      </c>
      <c r="P2">
        <v>0.25593442490575102</v>
      </c>
      <c r="Q2">
        <v>0.346345947837777</v>
      </c>
      <c r="R2">
        <v>0.358745077655792</v>
      </c>
      <c r="S2">
        <v>0.19631749090554301</v>
      </c>
      <c r="T2">
        <v>0.15938060801613299</v>
      </c>
      <c r="U2">
        <v>0.18683663211770701</v>
      </c>
      <c r="V2">
        <v>0.19155569795097499</v>
      </c>
      <c r="W2">
        <v>0.30204923317112498</v>
      </c>
      <c r="X2">
        <v>0.37446601031552601</v>
      </c>
      <c r="Y2">
        <v>0.18520332629689401</v>
      </c>
      <c r="Z2">
        <v>0.30386786932605298</v>
      </c>
      <c r="AA2">
        <v>0.28068057207855701</v>
      </c>
      <c r="AB2">
        <v>0.42845244473399302</v>
      </c>
    </row>
    <row r="3" spans="1:28" x14ac:dyDescent="0.2">
      <c r="A3">
        <v>1.3279896676766101E-2</v>
      </c>
      <c r="B3">
        <v>1.88138133819124E-2</v>
      </c>
      <c r="C3">
        <v>2.12479587305658E-2</v>
      </c>
      <c r="D3">
        <v>1.17537378546344E-2</v>
      </c>
      <c r="E3">
        <v>2.0082547738098099E-2</v>
      </c>
      <c r="F3">
        <v>1.2442540810350001E-2</v>
      </c>
      <c r="G3">
        <v>1.2004825841857299E-2</v>
      </c>
      <c r="H3">
        <v>7.8916856397961092E-3</v>
      </c>
      <c r="I3">
        <v>7.8107460331730801E-3</v>
      </c>
      <c r="J3">
        <v>3.1896113743985502E-2</v>
      </c>
      <c r="K3">
        <v>9.03705345902296E-3</v>
      </c>
      <c r="L3">
        <v>8.65048202481003E-3</v>
      </c>
      <c r="M3">
        <v>8.0138572866276601E-3</v>
      </c>
      <c r="N3">
        <v>1.0820878441012901E-2</v>
      </c>
      <c r="O3">
        <v>1.2673564828419101E-2</v>
      </c>
      <c r="P3">
        <v>1.5153719242930399E-2</v>
      </c>
      <c r="Q3">
        <v>9.4893102994228207E-3</v>
      </c>
      <c r="R3">
        <v>1.01652208053945E-2</v>
      </c>
      <c r="S3">
        <v>1.3446787228473599E-2</v>
      </c>
      <c r="T3">
        <v>1.54166469135669E-2</v>
      </c>
      <c r="U3">
        <v>1.53151474537364E-2</v>
      </c>
      <c r="V3">
        <v>1.8160637638714498E-2</v>
      </c>
      <c r="W3">
        <v>1.04822229768767E-2</v>
      </c>
      <c r="X3">
        <v>9.6132087155902102E-3</v>
      </c>
      <c r="Y3">
        <v>9.5670827506199301E-3</v>
      </c>
      <c r="Z3">
        <v>8.6380411957390508E-3</v>
      </c>
      <c r="AA3">
        <v>7.6882248236530299E-3</v>
      </c>
      <c r="AB3">
        <v>7.5690101163444698E-3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BF49-CFA7-0B42-9EE0-67657D942488}">
  <dimension ref="A1:F28"/>
  <sheetViews>
    <sheetView tabSelected="1" workbookViewId="0">
      <selection activeCell="H21" sqref="H21"/>
    </sheetView>
  </sheetViews>
  <sheetFormatPr baseColWidth="10" defaultRowHeight="16" x14ac:dyDescent="0.2"/>
  <cols>
    <col min="1" max="1" width="46.5" bestFit="1" customWidth="1"/>
  </cols>
  <sheetData>
    <row r="1" spans="1:6" x14ac:dyDescent="0.2">
      <c r="A1" t="s">
        <v>0</v>
      </c>
      <c r="B1" s="2">
        <v>0.230371068666375</v>
      </c>
      <c r="C1" s="2">
        <v>1.3279896676766101E-2</v>
      </c>
      <c r="F1" t="str">
        <f>_xlfn.CONCAT(TEXT(B1,"0.000")," +/- ",TEXT(C1,"0.000"))</f>
        <v>0.230 +/- 0.013</v>
      </c>
    </row>
    <row r="2" spans="1:6" x14ac:dyDescent="0.2">
      <c r="A2" t="s">
        <v>1</v>
      </c>
      <c r="B2" s="2">
        <v>0.19278534200511499</v>
      </c>
      <c r="C2" s="2">
        <v>1.88138133819124E-2</v>
      </c>
      <c r="F2" t="str">
        <f t="shared" ref="F2:F28" si="0">_xlfn.CONCAT(TEXT(B2,"0.000")," +/- ",TEXT(C2,"0.000"))</f>
        <v>0.193 +/- 0.019</v>
      </c>
    </row>
    <row r="3" spans="1:6" x14ac:dyDescent="0.2">
      <c r="A3" t="s">
        <v>2</v>
      </c>
      <c r="B3" s="2">
        <v>9.4720592050888203E-2</v>
      </c>
      <c r="C3" s="2">
        <v>2.12479587305658E-2</v>
      </c>
      <c r="F3" t="str">
        <f t="shared" si="0"/>
        <v>0.095 +/- 0.021</v>
      </c>
    </row>
    <row r="4" spans="1:6" x14ac:dyDescent="0.2">
      <c r="A4" t="s">
        <v>3</v>
      </c>
      <c r="B4" s="2">
        <v>0.327748510834032</v>
      </c>
      <c r="C4" s="2">
        <v>1.17537378546344E-2</v>
      </c>
      <c r="F4" t="str">
        <f t="shared" si="0"/>
        <v>0.328 +/- 0.012</v>
      </c>
    </row>
    <row r="5" spans="1:6" x14ac:dyDescent="0.2">
      <c r="A5" t="s">
        <v>4</v>
      </c>
      <c r="B5" s="2">
        <v>0.179925179866855</v>
      </c>
      <c r="C5" s="2">
        <v>2.0082547738098099E-2</v>
      </c>
      <c r="F5" t="str">
        <f t="shared" si="0"/>
        <v>0.180 +/- 0.020</v>
      </c>
    </row>
    <row r="6" spans="1:6" x14ac:dyDescent="0.2">
      <c r="A6" t="s">
        <v>5</v>
      </c>
      <c r="B6" s="2">
        <v>0.322213753785483</v>
      </c>
      <c r="C6" s="2">
        <v>1.2442540810350001E-2</v>
      </c>
      <c r="F6" t="str">
        <f t="shared" si="0"/>
        <v>0.322 +/- 0.012</v>
      </c>
    </row>
    <row r="7" spans="1:6" x14ac:dyDescent="0.2">
      <c r="A7" t="s">
        <v>6</v>
      </c>
      <c r="B7" s="2">
        <v>0.302391493282964</v>
      </c>
      <c r="C7" s="2">
        <v>1.2004825841857299E-2</v>
      </c>
      <c r="F7" t="str">
        <f t="shared" si="0"/>
        <v>0.302 +/- 0.012</v>
      </c>
    </row>
    <row r="8" spans="1:6" x14ac:dyDescent="0.2">
      <c r="A8" t="s">
        <v>7</v>
      </c>
      <c r="B8" s="2">
        <v>0.36122141516836997</v>
      </c>
      <c r="C8" s="2">
        <v>7.8916856397961092E-3</v>
      </c>
      <c r="F8" t="str">
        <f t="shared" si="0"/>
        <v>0.361 +/- 0.008</v>
      </c>
    </row>
    <row r="9" spans="1:6" x14ac:dyDescent="0.2">
      <c r="A9" t="s">
        <v>8</v>
      </c>
      <c r="B9" s="2">
        <v>0.37715247693104398</v>
      </c>
      <c r="C9" s="2">
        <v>7.8107460331730801E-3</v>
      </c>
      <c r="F9" t="str">
        <f t="shared" si="0"/>
        <v>0.377 +/- 0.008</v>
      </c>
    </row>
    <row r="10" spans="1:6" x14ac:dyDescent="0.2">
      <c r="A10" t="s">
        <v>9</v>
      </c>
      <c r="B10" s="2">
        <v>-6.4383872052520302E-2</v>
      </c>
      <c r="C10" s="2">
        <v>3.1896113743985502E-2</v>
      </c>
      <c r="F10" t="str">
        <f t="shared" si="0"/>
        <v>-0.064 +/- 0.032</v>
      </c>
    </row>
    <row r="11" spans="1:6" x14ac:dyDescent="0.2">
      <c r="A11" t="s">
        <v>10</v>
      </c>
      <c r="B11" s="2">
        <v>0.37952344426967</v>
      </c>
      <c r="C11" s="2">
        <v>9.03705345902296E-3</v>
      </c>
      <c r="F11" t="str">
        <f t="shared" si="0"/>
        <v>0.380 +/- 0.009</v>
      </c>
    </row>
    <row r="12" spans="1:6" x14ac:dyDescent="0.2">
      <c r="A12" t="s">
        <v>11</v>
      </c>
      <c r="B12" s="2">
        <v>0.352075777580099</v>
      </c>
      <c r="C12" s="2">
        <v>8.65048202481003E-3</v>
      </c>
      <c r="F12" t="str">
        <f t="shared" si="0"/>
        <v>0.352 +/- 0.009</v>
      </c>
    </row>
    <row r="13" spans="1:6" x14ac:dyDescent="0.2">
      <c r="A13" t="s">
        <v>12</v>
      </c>
      <c r="B13" s="2">
        <v>0.39687107655942</v>
      </c>
      <c r="C13" s="2">
        <v>8.0138572866276601E-3</v>
      </c>
      <c r="F13" t="str">
        <f t="shared" si="0"/>
        <v>0.397 +/- 0.008</v>
      </c>
    </row>
    <row r="14" spans="1:6" x14ac:dyDescent="0.2">
      <c r="A14" t="s">
        <v>13</v>
      </c>
      <c r="B14" s="2">
        <v>0.30219008171970002</v>
      </c>
      <c r="C14" s="2">
        <v>1.0820878441012901E-2</v>
      </c>
      <c r="F14" t="str">
        <f t="shared" si="0"/>
        <v>0.302 +/- 0.011</v>
      </c>
    </row>
    <row r="15" spans="1:6" x14ac:dyDescent="0.2">
      <c r="A15" t="s">
        <v>14</v>
      </c>
      <c r="B15" s="2">
        <v>0.22573587076189999</v>
      </c>
      <c r="C15" s="2">
        <v>1.2673564828419101E-2</v>
      </c>
      <c r="F15" t="str">
        <f t="shared" si="0"/>
        <v>0.226 +/- 0.013</v>
      </c>
    </row>
    <row r="16" spans="1:6" x14ac:dyDescent="0.2">
      <c r="A16" t="s">
        <v>27</v>
      </c>
      <c r="B16" s="2">
        <v>0.25593442490575102</v>
      </c>
      <c r="C16" s="2">
        <v>1.5153719242930399E-2</v>
      </c>
      <c r="F16" t="str">
        <f t="shared" si="0"/>
        <v>0.256 +/- 0.015</v>
      </c>
    </row>
    <row r="17" spans="1:6" x14ac:dyDescent="0.2">
      <c r="A17" t="s">
        <v>26</v>
      </c>
      <c r="B17" s="2">
        <v>0.346345947837777</v>
      </c>
      <c r="C17" s="2">
        <v>9.4893102994228207E-3</v>
      </c>
      <c r="F17" t="str">
        <f t="shared" si="0"/>
        <v>0.346 +/- 0.009</v>
      </c>
    </row>
    <row r="18" spans="1:6" x14ac:dyDescent="0.2">
      <c r="A18" t="s">
        <v>25</v>
      </c>
      <c r="B18" s="2">
        <v>0.358745077655792</v>
      </c>
      <c r="C18" s="2">
        <v>1.01652208053945E-2</v>
      </c>
      <c r="F18" t="str">
        <f t="shared" si="0"/>
        <v>0.359 +/- 0.010</v>
      </c>
    </row>
    <row r="19" spans="1:6" x14ac:dyDescent="0.2">
      <c r="A19" t="s">
        <v>15</v>
      </c>
      <c r="B19" s="2">
        <v>0.19631749090554301</v>
      </c>
      <c r="C19" s="2">
        <v>1.3446787228473599E-2</v>
      </c>
      <c r="F19" t="str">
        <f t="shared" si="0"/>
        <v>0.196 +/- 0.013</v>
      </c>
    </row>
    <row r="20" spans="1:6" x14ac:dyDescent="0.2">
      <c r="A20" t="s">
        <v>16</v>
      </c>
      <c r="B20" s="2">
        <v>0.15938060801613299</v>
      </c>
      <c r="C20" s="2">
        <v>1.54166469135669E-2</v>
      </c>
      <c r="F20" t="str">
        <f t="shared" si="0"/>
        <v>0.159 +/- 0.015</v>
      </c>
    </row>
    <row r="21" spans="1:6" x14ac:dyDescent="0.2">
      <c r="A21" t="s">
        <v>23</v>
      </c>
      <c r="B21" s="2">
        <v>0.18683663211770701</v>
      </c>
      <c r="C21" s="2">
        <v>1.53151474537364E-2</v>
      </c>
      <c r="F21" t="str">
        <f t="shared" si="0"/>
        <v>0.187 +/- 0.015</v>
      </c>
    </row>
    <row r="22" spans="1:6" x14ac:dyDescent="0.2">
      <c r="A22" t="s">
        <v>22</v>
      </c>
      <c r="B22" s="2">
        <v>0.19155569795097499</v>
      </c>
      <c r="C22" s="2">
        <v>1.8160637638714498E-2</v>
      </c>
      <c r="F22" t="str">
        <f t="shared" si="0"/>
        <v>0.192 +/- 0.018</v>
      </c>
    </row>
    <row r="23" spans="1:6" x14ac:dyDescent="0.2">
      <c r="A23" s="1" t="s">
        <v>24</v>
      </c>
      <c r="B23" s="2">
        <v>0.30204923317112498</v>
      </c>
      <c r="C23" s="2">
        <v>1.04822229768767E-2</v>
      </c>
      <c r="F23" t="str">
        <f t="shared" si="0"/>
        <v>0.302 +/- 0.010</v>
      </c>
    </row>
    <row r="24" spans="1:6" x14ac:dyDescent="0.2">
      <c r="A24" s="1" t="s">
        <v>17</v>
      </c>
      <c r="B24" s="2">
        <v>0.37446601031552601</v>
      </c>
      <c r="C24" s="2">
        <v>9.6132087155902102E-3</v>
      </c>
      <c r="F24" t="str">
        <f t="shared" si="0"/>
        <v>0.374 +/- 0.010</v>
      </c>
    </row>
    <row r="25" spans="1:6" x14ac:dyDescent="0.2">
      <c r="A25" s="1" t="s">
        <v>18</v>
      </c>
      <c r="B25" s="2">
        <v>0.18520332629689401</v>
      </c>
      <c r="C25" s="2">
        <v>9.5670827506199301E-3</v>
      </c>
      <c r="F25" t="str">
        <f t="shared" si="0"/>
        <v>0.185 +/- 0.010</v>
      </c>
    </row>
    <row r="26" spans="1:6" x14ac:dyDescent="0.2">
      <c r="A26" s="1" t="s">
        <v>19</v>
      </c>
      <c r="B26" s="2">
        <v>0.30386786932605298</v>
      </c>
      <c r="C26" s="2">
        <v>8.6380411957390508E-3</v>
      </c>
      <c r="F26" t="str">
        <f t="shared" si="0"/>
        <v>0.304 +/- 0.009</v>
      </c>
    </row>
    <row r="27" spans="1:6" x14ac:dyDescent="0.2">
      <c r="A27" s="1" t="s">
        <v>20</v>
      </c>
      <c r="B27" s="2">
        <v>0.28068057207855701</v>
      </c>
      <c r="C27" s="2">
        <v>7.6882248236530299E-3</v>
      </c>
      <c r="F27" t="str">
        <f t="shared" si="0"/>
        <v>0.281 +/- 0.008</v>
      </c>
    </row>
    <row r="28" spans="1:6" x14ac:dyDescent="0.2">
      <c r="A28" s="1" t="s">
        <v>21</v>
      </c>
      <c r="B28" s="2">
        <v>0.42845244473399302</v>
      </c>
      <c r="C28" s="2">
        <v>7.5690101163444698E-3</v>
      </c>
      <c r="F28" t="str">
        <f t="shared" si="0"/>
        <v>0.428 +/- 0.008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Simon, AJ</dc:creator>
  <cp:lastModifiedBy>Simon, AJ</cp:lastModifiedBy>
  <dcterms:created xsi:type="dcterms:W3CDTF">2024-12-28T22:33:13Z</dcterms:created>
  <dcterms:modified xsi:type="dcterms:W3CDTF">2025-07-14T15:47:10Z</dcterms:modified>
</cp:coreProperties>
</file>